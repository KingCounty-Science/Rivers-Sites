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kc1-my.sharepoint.com/personal/ihiggins_kingcounty_gov/Documents/Python/ISP-Program-Map/data/"/>
    </mc:Choice>
  </mc:AlternateContent>
  <xr:revisionPtr revIDLastSave="446" documentId="8_{AAEF7D5C-03DC-498D-9BCC-893FCB383C5C}" xr6:coauthVersionLast="47" xr6:coauthVersionMax="47" xr10:uidLastSave="{9099D13A-D2E7-4598-839B-0ABD17C539D8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M47" i="1"/>
</calcChain>
</file>

<file path=xl/sharedStrings.xml><?xml version="1.0" encoding="utf-8"?>
<sst xmlns="http://schemas.openxmlformats.org/spreadsheetml/2006/main" count="333" uniqueCount="144">
  <si>
    <t>SITE_CODE</t>
  </si>
  <si>
    <t>SITE_NAME</t>
  </si>
  <si>
    <t>GAGETAG</t>
  </si>
  <si>
    <t>DATE_INSTA</t>
  </si>
  <si>
    <t>LAT</t>
  </si>
  <si>
    <t>LON</t>
  </si>
  <si>
    <t>WRIA</t>
  </si>
  <si>
    <t>Yearly Hours</t>
  </si>
  <si>
    <t>Program supporting</t>
  </si>
  <si>
    <t>ISP site notes</t>
  </si>
  <si>
    <t>KM verified</t>
  </si>
  <si>
    <t>KM notes</t>
  </si>
  <si>
    <t>Annual equipment cost (Replacement cost of both types of gages Data logger and monitoring sensors=$4100 2025 cost.  10 year lifetime of equipment.  Ammortized yearly replacement cost $410)</t>
  </si>
  <si>
    <t>02G</t>
  </si>
  <si>
    <t xml:space="preserve">Cottage Creek </t>
  </si>
  <si>
    <t>Stream Gauge(Recording with Discharge)</t>
  </si>
  <si>
    <t>Can this one be modeled from gage 02g?</t>
  </si>
  <si>
    <t>yes</t>
  </si>
  <si>
    <t>03G</t>
  </si>
  <si>
    <t>Springbrook Creek</t>
  </si>
  <si>
    <t>Upgraded to telemetry also supports Black River PS</t>
  </si>
  <si>
    <t>03V</t>
  </si>
  <si>
    <t>Springbrook Creek Rain Gage</t>
  </si>
  <si>
    <t>Precipitation Gauge(Recording)</t>
  </si>
  <si>
    <t>Replaced I and I gage at pump plant</t>
  </si>
  <si>
    <t>09a</t>
  </si>
  <si>
    <t>Covington Creek</t>
  </si>
  <si>
    <t>15B</t>
  </si>
  <si>
    <t>Pine Lake Creek</t>
  </si>
  <si>
    <t>15g</t>
  </si>
  <si>
    <t>George Davis Creek</t>
  </si>
  <si>
    <t>15h</t>
  </si>
  <si>
    <t>Ebright Creek</t>
  </si>
  <si>
    <t>08</t>
  </si>
  <si>
    <t>existing gage will be part of ISP program</t>
  </si>
  <si>
    <t>17b</t>
  </si>
  <si>
    <t xml:space="preserve">Gorsuch Creek </t>
  </si>
  <si>
    <t>17u</t>
  </si>
  <si>
    <t>Gorsach Creek</t>
  </si>
  <si>
    <t>20B</t>
  </si>
  <si>
    <t>Forbes Creek 113th Ct NE and NE 106th</t>
  </si>
  <si>
    <t>gage installed Jan 2025 for ISP program</t>
  </si>
  <si>
    <t>20C</t>
  </si>
  <si>
    <t>Cochran Springs</t>
  </si>
  <si>
    <t>gage installed Oct 2025 for ISP program</t>
  </si>
  <si>
    <t>20D</t>
  </si>
  <si>
    <t>Fairweather Creek</t>
  </si>
  <si>
    <t>25A</t>
  </si>
  <si>
    <t>Issaquah at USGS Gage near Mouth</t>
  </si>
  <si>
    <t>25L</t>
  </si>
  <si>
    <t>Issaquah Creek Upstream</t>
  </si>
  <si>
    <t>Replaces 40T.  Upstream of hatchery.</t>
  </si>
  <si>
    <t>26a</t>
  </si>
  <si>
    <t>Jenkins Creek</t>
  </si>
  <si>
    <t>27L</t>
  </si>
  <si>
    <t>Juanita/Windsor Vista</t>
  </si>
  <si>
    <t>27V</t>
  </si>
  <si>
    <t>Big Finn Hill Park Rain Gage, Kirkland</t>
  </si>
  <si>
    <t>30AN</t>
  </si>
  <si>
    <t>Little Bear Creek Upstream</t>
  </si>
  <si>
    <t xml:space="preserve">yes  </t>
  </si>
  <si>
    <t>This would be ~4 miles upstream of 30AN</t>
  </si>
  <si>
    <t>31C</t>
  </si>
  <si>
    <t>Molasses Creek</t>
  </si>
  <si>
    <t>31d4</t>
  </si>
  <si>
    <t>Madsen Creek west trib 0306A</t>
  </si>
  <si>
    <t>31L</t>
  </si>
  <si>
    <t>Rock Creek</t>
  </si>
  <si>
    <t>31P</t>
  </si>
  <si>
    <t>Maplewood Creek</t>
  </si>
  <si>
    <t>32C</t>
  </si>
  <si>
    <t>Olson Creek</t>
  </si>
  <si>
    <t>33Y</t>
  </si>
  <si>
    <t>Highline College Rain Gage</t>
  </si>
  <si>
    <t>09</t>
  </si>
  <si>
    <t>34A</t>
  </si>
  <si>
    <t>Lyons Creek at Bothell Way</t>
  </si>
  <si>
    <t>35C</t>
  </si>
  <si>
    <t>McAleer Creek at Bothell Way</t>
  </si>
  <si>
    <t>35U</t>
  </si>
  <si>
    <t>Bruggers Bog Rain Gage</t>
  </si>
  <si>
    <t>37i</t>
  </si>
  <si>
    <t>May Creek trib at 116th St fishladder</t>
  </si>
  <si>
    <t>38U</t>
  </si>
  <si>
    <t>Snyders Corner Rain Gage, City of Kirkland</t>
  </si>
  <si>
    <t>43a</t>
  </si>
  <si>
    <t>Shinglemill Creek</t>
  </si>
  <si>
    <t>45C</t>
  </si>
  <si>
    <t>North Creek @ North Creek Parkway</t>
  </si>
  <si>
    <t>48AN</t>
  </si>
  <si>
    <t>Patterson Creek</t>
  </si>
  <si>
    <t>Was going to be sunsetted</t>
  </si>
  <si>
    <t>48y</t>
  </si>
  <si>
    <t>51A</t>
  </si>
  <si>
    <t>Waynita Creek at Waynita Way</t>
  </si>
  <si>
    <t>Restarted for large restoration downstream into Sammamish</t>
  </si>
  <si>
    <t>54a</t>
  </si>
  <si>
    <t>Soos Creek</t>
  </si>
  <si>
    <t>54h</t>
  </si>
  <si>
    <t>Soosette Creek</t>
  </si>
  <si>
    <t>54i</t>
  </si>
  <si>
    <t>Little Soos Creek</t>
  </si>
  <si>
    <t>54j</t>
  </si>
  <si>
    <t>Upper Soos Creek</t>
  </si>
  <si>
    <t>56E</t>
  </si>
  <si>
    <t>Swamp Creek at KCH</t>
  </si>
  <si>
    <t>63C</t>
  </si>
  <si>
    <t>Idlywood Creek</t>
  </si>
  <si>
    <t>gage installed Sept 2025 for ISP program</t>
  </si>
  <si>
    <t>63D</t>
  </si>
  <si>
    <t>Vasa Creek</t>
  </si>
  <si>
    <t>68C</t>
  </si>
  <si>
    <t>Venema Creek</t>
  </si>
  <si>
    <t>BW2_Rain</t>
  </si>
  <si>
    <t>Brightwater rain gage on ground</t>
  </si>
  <si>
    <t>RPWS_MONMO</t>
  </si>
  <si>
    <t>Montecello Creek near Mouth</t>
  </si>
  <si>
    <t>SPU_STA401</t>
  </si>
  <si>
    <t>Taylor Creek (W Lake Washington)</t>
  </si>
  <si>
    <t>Total Hours WTD LTM</t>
  </si>
  <si>
    <t>SWM FUNDED GAGES</t>
  </si>
  <si>
    <t>05a</t>
  </si>
  <si>
    <t>Cherry Creek</t>
  </si>
  <si>
    <t>21a</t>
  </si>
  <si>
    <t>Griffin Creek</t>
  </si>
  <si>
    <t>SWM Funded ISP Site</t>
  </si>
  <si>
    <t>Sites Supporting ISP, WQBE and WQI</t>
  </si>
  <si>
    <t>NEW</t>
  </si>
  <si>
    <t>Coal Creek Snoqualmie Watershed</t>
  </si>
  <si>
    <t>Carey Creek</t>
  </si>
  <si>
    <t>25i</t>
  </si>
  <si>
    <t>Boise Creek</t>
  </si>
  <si>
    <t>28a</t>
  </si>
  <si>
    <t>Judd Creek</t>
  </si>
  <si>
    <t>42a</t>
  </si>
  <si>
    <t>Miller Creek</t>
  </si>
  <si>
    <t>VA23</t>
  </si>
  <si>
    <t>Christensen Creek</t>
  </si>
  <si>
    <t>65A</t>
  </si>
  <si>
    <t>Tahlequah Creek</t>
  </si>
  <si>
    <t>Sites Supporting WQI and other programs</t>
  </si>
  <si>
    <t>SWM</t>
  </si>
  <si>
    <t>WTD</t>
  </si>
  <si>
    <t>WTD vs SWM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</si>
</sst>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sz val="11"/>
      <name val="Aptos Narrow"/>
      <charset val="1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44" fontId="4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6" fillId="0" borderId="0" xfId="0" applyFont="1" applyAlignment="1">
      <alignment vertical="center"/>
    </xf>
    <xf numFmtId="0" fontId="7" fillId="0" borderId="0" xfId="1" applyFont="1" applyAlignment="1">
      <alignment wrapText="1"/>
    </xf>
    <xf numFmtId="14" fontId="5" fillId="0" borderId="0" xfId="0" applyNumberFormat="1" applyFont="1"/>
    <xf numFmtId="0" fontId="5" fillId="0" borderId="0" xfId="0" applyFont="1"/>
    <xf numFmtId="0" fontId="10" fillId="0" borderId="0" xfId="1" applyFont="1" applyAlignment="1">
      <alignment wrapText="1"/>
    </xf>
    <xf numFmtId="0" fontId="11" fillId="0" borderId="0" xfId="0" applyFont="1"/>
    <xf numFmtId="44" fontId="12" fillId="0" borderId="0" xfId="2" applyFont="1" applyFill="1" applyBorder="1"/>
    <xf numFmtId="0" fontId="12" fillId="0" borderId="0" xfId="0" applyFont="1"/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right"/>
    </xf>
    <xf numFmtId="0" fontId="13" fillId="0" borderId="0" xfId="0" applyFont="1"/>
    <xf numFmtId="0" fontId="5" fillId="0" borderId="0" xfId="0" applyFont="1" applyAlignment="1">
      <alignment horizontal="left" wrapText="1"/>
    </xf>
    <xf numFmtId="0" fontId="1" fillId="0" borderId="2" xfId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0" fillId="0" borderId="0" xfId="0" applyFill="1"/>
    <xf numFmtId="0" fontId="7" fillId="0" borderId="0" xfId="1" applyFont="1" applyFill="1" applyAlignment="1">
      <alignment wrapText="1"/>
    </xf>
    <xf numFmtId="14" fontId="7" fillId="0" borderId="0" xfId="1" applyNumberFormat="1" applyFont="1" applyFill="1" applyAlignment="1">
      <alignment horizontal="right" wrapText="1"/>
    </xf>
    <xf numFmtId="0" fontId="7" fillId="0" borderId="0" xfId="1" applyFont="1" applyFill="1" applyAlignment="1">
      <alignment horizontal="right" wrapText="1"/>
    </xf>
    <xf numFmtId="0" fontId="5" fillId="0" borderId="0" xfId="0" applyFont="1" applyFill="1"/>
    <xf numFmtId="6" fontId="5" fillId="0" borderId="0" xfId="0" applyNumberFormat="1" applyFont="1" applyFill="1"/>
    <xf numFmtId="14" fontId="5" fillId="0" borderId="0" xfId="0" applyNumberFormat="1" applyFont="1" applyFill="1"/>
    <xf numFmtId="0" fontId="8" fillId="0" borderId="0" xfId="0" applyFont="1" applyFill="1"/>
    <xf numFmtId="0" fontId="9" fillId="0" borderId="0" xfId="0" applyFont="1" applyFill="1"/>
    <xf numFmtId="0" fontId="5" fillId="0" borderId="0" xfId="1" applyFont="1" applyFill="1" applyAlignment="1">
      <alignment wrapText="1"/>
    </xf>
    <xf numFmtId="49" fontId="7" fillId="0" borderId="0" xfId="1" applyNumberFormat="1" applyFont="1" applyFill="1" applyAlignment="1">
      <alignment wrapText="1"/>
    </xf>
  </cellXfs>
  <cellStyles count="3">
    <cellStyle name="Currency" xfId="2" builtinId="4"/>
    <cellStyle name="Normal" xfId="0" builtinId="0"/>
    <cellStyle name="Normal_Sheet1" xfId="1" xr:uid="{B9EE5E9D-B4CF-4BB2-B3F4-4617B966580A}"/>
  </cellStyles>
  <dxfs count="1">
    <dxf>
      <font>
        <b val="0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"/>
  <sheetViews>
    <sheetView tabSelected="1" topLeftCell="A22" zoomScale="80" zoomScaleNormal="80" workbookViewId="0">
      <selection activeCell="B27" sqref="B27"/>
    </sheetView>
  </sheetViews>
  <sheetFormatPr defaultRowHeight="18" customHeight="1" x14ac:dyDescent="0.3"/>
  <cols>
    <col min="1" max="1" width="25.109375" customWidth="1"/>
    <col min="2" max="2" width="51.88671875" customWidth="1"/>
    <col min="3" max="3" width="38.88671875" customWidth="1"/>
    <col min="4" max="4" width="20.44140625" style="1" customWidth="1"/>
    <col min="5" max="5" width="16.88671875" customWidth="1"/>
    <col min="6" max="6" width="18.5546875" customWidth="1"/>
    <col min="8" max="8" width="15.44140625" customWidth="1"/>
    <col min="9" max="9" width="36.88671875" customWidth="1"/>
    <col min="10" max="10" width="37.6640625" customWidth="1"/>
    <col min="11" max="11" width="11.6640625" customWidth="1"/>
    <col min="13" max="13" width="11.5546875" bestFit="1" customWidth="1"/>
  </cols>
  <sheetData>
    <row r="1" spans="1:14" s="17" customFormat="1" ht="18" customHeight="1" x14ac:dyDescent="0.3">
      <c r="A1" s="14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6" t="s">
        <v>7</v>
      </c>
      <c r="I1" s="16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143</v>
      </c>
    </row>
    <row r="2" spans="1:14" s="21" customFormat="1" ht="18" customHeight="1" x14ac:dyDescent="0.3">
      <c r="A2" s="18" t="s">
        <v>13</v>
      </c>
      <c r="B2" s="18" t="s">
        <v>14</v>
      </c>
      <c r="C2" s="18" t="s">
        <v>15</v>
      </c>
      <c r="D2" s="19">
        <v>46387</v>
      </c>
      <c r="E2" s="20">
        <v>47.716700000000003</v>
      </c>
      <c r="F2" s="20">
        <v>-122.08799999999999</v>
      </c>
      <c r="G2" s="18">
        <v>8</v>
      </c>
      <c r="H2" s="21">
        <v>40</v>
      </c>
      <c r="I2" s="21" t="s">
        <v>126</v>
      </c>
      <c r="J2" s="21" t="s">
        <v>16</v>
      </c>
      <c r="K2" s="21" t="s">
        <v>17</v>
      </c>
      <c r="M2" s="22">
        <v>410</v>
      </c>
      <c r="N2" s="21" t="s">
        <v>142</v>
      </c>
    </row>
    <row r="3" spans="1:14" s="21" customFormat="1" ht="18" customHeight="1" x14ac:dyDescent="0.3">
      <c r="A3" s="21" t="s">
        <v>18</v>
      </c>
      <c r="B3" s="21" t="s">
        <v>19</v>
      </c>
      <c r="C3" s="21" t="s">
        <v>15</v>
      </c>
      <c r="D3" s="23">
        <v>43923</v>
      </c>
      <c r="E3" s="21">
        <v>47.468083329999999</v>
      </c>
      <c r="F3" s="21">
        <v>-122.23436</v>
      </c>
      <c r="G3" s="21">
        <v>8</v>
      </c>
      <c r="H3" s="21">
        <v>40</v>
      </c>
      <c r="I3" s="21" t="s">
        <v>126</v>
      </c>
      <c r="J3" s="21" t="s">
        <v>20</v>
      </c>
      <c r="M3" s="22">
        <v>410</v>
      </c>
      <c r="N3" s="21" t="s">
        <v>142</v>
      </c>
    </row>
    <row r="4" spans="1:14" s="21" customFormat="1" ht="18" customHeight="1" x14ac:dyDescent="0.3">
      <c r="A4" s="21" t="s">
        <v>21</v>
      </c>
      <c r="B4" s="21" t="s">
        <v>22</v>
      </c>
      <c r="C4" s="24" t="s">
        <v>23</v>
      </c>
      <c r="D4" s="23">
        <v>43923</v>
      </c>
      <c r="E4" s="21">
        <v>47.46808</v>
      </c>
      <c r="F4" s="21">
        <v>-122.23436</v>
      </c>
      <c r="G4" s="21">
        <v>8</v>
      </c>
      <c r="H4" s="21">
        <v>20</v>
      </c>
      <c r="I4" s="21" t="s">
        <v>140</v>
      </c>
      <c r="J4" s="21" t="s">
        <v>24</v>
      </c>
      <c r="M4" s="22">
        <v>410</v>
      </c>
      <c r="N4" s="21" t="s">
        <v>142</v>
      </c>
    </row>
    <row r="5" spans="1:14" s="21" customFormat="1" ht="18" customHeight="1" x14ac:dyDescent="0.3">
      <c r="A5" s="18" t="s">
        <v>25</v>
      </c>
      <c r="B5" s="18" t="s">
        <v>26</v>
      </c>
      <c r="C5" s="24" t="s">
        <v>15</v>
      </c>
      <c r="D5" s="23">
        <v>43831</v>
      </c>
      <c r="E5" s="21">
        <v>47.312579999999997</v>
      </c>
      <c r="F5" s="21">
        <v>-122.10833</v>
      </c>
      <c r="G5" s="18">
        <v>9</v>
      </c>
      <c r="H5" s="21">
        <v>40</v>
      </c>
      <c r="I5" s="21" t="s">
        <v>126</v>
      </c>
      <c r="M5" s="22">
        <v>410</v>
      </c>
      <c r="N5" s="21" t="s">
        <v>142</v>
      </c>
    </row>
    <row r="6" spans="1:14" s="21" customFormat="1" ht="18" customHeight="1" x14ac:dyDescent="0.3">
      <c r="A6" s="18" t="s">
        <v>27</v>
      </c>
      <c r="B6" s="18" t="s">
        <v>28</v>
      </c>
      <c r="C6" s="18" t="s">
        <v>15</v>
      </c>
      <c r="D6" s="19">
        <v>46387</v>
      </c>
      <c r="E6" s="20">
        <v>47.600990000000003</v>
      </c>
      <c r="F6" s="20">
        <v>-122.08058</v>
      </c>
      <c r="G6" s="18">
        <v>8</v>
      </c>
      <c r="H6" s="21">
        <v>40</v>
      </c>
      <c r="I6" s="21" t="s">
        <v>126</v>
      </c>
      <c r="K6" s="21" t="s">
        <v>17</v>
      </c>
      <c r="M6" s="22">
        <v>410</v>
      </c>
      <c r="N6" s="21" t="s">
        <v>142</v>
      </c>
    </row>
    <row r="7" spans="1:14" s="21" customFormat="1" ht="18" customHeight="1" x14ac:dyDescent="0.3">
      <c r="A7" s="18" t="s">
        <v>29</v>
      </c>
      <c r="B7" s="18" t="s">
        <v>30</v>
      </c>
      <c r="C7" s="18" t="s">
        <v>15</v>
      </c>
      <c r="D7" s="19">
        <v>45961</v>
      </c>
      <c r="E7" s="20">
        <v>47.61504</v>
      </c>
      <c r="F7" s="20">
        <v>-122.06664000000001</v>
      </c>
      <c r="G7" s="18">
        <v>8</v>
      </c>
      <c r="H7" s="21">
        <v>40</v>
      </c>
      <c r="I7" s="21" t="s">
        <v>126</v>
      </c>
      <c r="K7" s="21" t="s">
        <v>17</v>
      </c>
      <c r="M7" s="22">
        <v>410</v>
      </c>
      <c r="N7" s="21" t="s">
        <v>142</v>
      </c>
    </row>
    <row r="8" spans="1:14" s="21" customFormat="1" ht="18" customHeight="1" x14ac:dyDescent="0.3">
      <c r="A8" s="18" t="s">
        <v>31</v>
      </c>
      <c r="B8" s="18" t="s">
        <v>32</v>
      </c>
      <c r="C8" s="18" t="s">
        <v>15</v>
      </c>
      <c r="D8" s="19">
        <v>44835</v>
      </c>
      <c r="E8" s="20">
        <v>47.608429999999998</v>
      </c>
      <c r="F8" s="20">
        <v>-122.07279</v>
      </c>
      <c r="G8" s="18" t="s">
        <v>33</v>
      </c>
      <c r="H8" s="21">
        <v>40</v>
      </c>
      <c r="I8" s="21" t="s">
        <v>126</v>
      </c>
      <c r="J8" s="21" t="s">
        <v>34</v>
      </c>
      <c r="K8" s="21" t="s">
        <v>17</v>
      </c>
      <c r="M8" s="22">
        <v>410</v>
      </c>
      <c r="N8" s="21" t="s">
        <v>142</v>
      </c>
    </row>
    <row r="9" spans="1:14" s="21" customFormat="1" ht="18" customHeight="1" x14ac:dyDescent="0.3">
      <c r="A9" s="18" t="s">
        <v>35</v>
      </c>
      <c r="B9" s="18" t="s">
        <v>36</v>
      </c>
      <c r="C9" s="24" t="s">
        <v>15</v>
      </c>
      <c r="D9" s="23">
        <v>43831</v>
      </c>
      <c r="E9" s="21">
        <v>47.453679999999999</v>
      </c>
      <c r="F9" s="25">
        <v>-122.44465</v>
      </c>
      <c r="G9" s="18">
        <v>9</v>
      </c>
      <c r="H9" s="21">
        <v>40</v>
      </c>
      <c r="I9" s="21" t="s">
        <v>126</v>
      </c>
      <c r="M9" s="22">
        <v>410</v>
      </c>
      <c r="N9" s="21" t="s">
        <v>142</v>
      </c>
    </row>
    <row r="10" spans="1:14" s="21" customFormat="1" ht="18" customHeight="1" x14ac:dyDescent="0.3">
      <c r="A10" s="18" t="s">
        <v>37</v>
      </c>
      <c r="B10" s="18" t="s">
        <v>38</v>
      </c>
      <c r="C10" s="18" t="s">
        <v>23</v>
      </c>
      <c r="D10" s="19">
        <v>43831</v>
      </c>
      <c r="E10" s="20">
        <v>47.451749999999997</v>
      </c>
      <c r="F10" s="20">
        <v>-122.455806</v>
      </c>
      <c r="G10" s="18"/>
      <c r="H10" s="21">
        <v>20</v>
      </c>
      <c r="I10" s="21" t="s">
        <v>140</v>
      </c>
      <c r="M10" s="22">
        <v>410</v>
      </c>
      <c r="N10" s="21" t="s">
        <v>142</v>
      </c>
    </row>
    <row r="11" spans="1:14" s="21" customFormat="1" ht="18" customHeight="1" x14ac:dyDescent="0.3">
      <c r="A11" s="18" t="s">
        <v>39</v>
      </c>
      <c r="B11" s="18" t="s">
        <v>40</v>
      </c>
      <c r="C11" s="18" t="s">
        <v>15</v>
      </c>
      <c r="D11" s="19">
        <v>45686</v>
      </c>
      <c r="E11" s="20">
        <v>47.69652</v>
      </c>
      <c r="F11" s="20">
        <v>-122.19041</v>
      </c>
      <c r="G11" s="18" t="s">
        <v>33</v>
      </c>
      <c r="H11" s="21">
        <v>40</v>
      </c>
      <c r="I11" s="21" t="s">
        <v>126</v>
      </c>
      <c r="J11" s="21" t="s">
        <v>41</v>
      </c>
      <c r="K11" s="21" t="s">
        <v>17</v>
      </c>
      <c r="M11" s="22">
        <v>410</v>
      </c>
      <c r="N11" s="21" t="s">
        <v>142</v>
      </c>
    </row>
    <row r="12" spans="1:14" s="21" customFormat="1" ht="18" customHeight="1" x14ac:dyDescent="0.3">
      <c r="A12" s="18" t="s">
        <v>42</v>
      </c>
      <c r="B12" s="18" t="s">
        <v>43</v>
      </c>
      <c r="C12" s="18" t="s">
        <v>15</v>
      </c>
      <c r="D12" s="19">
        <v>45961</v>
      </c>
      <c r="E12" s="20">
        <v>47.644820000000003</v>
      </c>
      <c r="F12" s="20">
        <v>-122.201367</v>
      </c>
      <c r="G12" s="18">
        <v>8</v>
      </c>
      <c r="H12" s="21">
        <v>40</v>
      </c>
      <c r="I12" s="21" t="s">
        <v>126</v>
      </c>
      <c r="J12" s="21" t="s">
        <v>44</v>
      </c>
      <c r="K12" s="21" t="s">
        <v>17</v>
      </c>
      <c r="M12" s="22">
        <v>410</v>
      </c>
      <c r="N12" s="21" t="s">
        <v>142</v>
      </c>
    </row>
    <row r="13" spans="1:14" s="21" customFormat="1" ht="18" customHeight="1" x14ac:dyDescent="0.3">
      <c r="A13" s="18" t="s">
        <v>45</v>
      </c>
      <c r="B13" s="18" t="s">
        <v>46</v>
      </c>
      <c r="C13" s="18" t="s">
        <v>15</v>
      </c>
      <c r="D13" s="19">
        <v>46387</v>
      </c>
      <c r="E13" s="20">
        <v>47.636499999999998</v>
      </c>
      <c r="F13" s="20">
        <v>-122.230611</v>
      </c>
      <c r="G13" s="18">
        <v>8</v>
      </c>
      <c r="H13" s="21">
        <v>40</v>
      </c>
      <c r="I13" s="21" t="s">
        <v>126</v>
      </c>
      <c r="K13" s="21" t="s">
        <v>17</v>
      </c>
      <c r="M13" s="22">
        <v>410</v>
      </c>
      <c r="N13" s="21" t="s">
        <v>142</v>
      </c>
    </row>
    <row r="14" spans="1:14" s="21" customFormat="1" ht="18" customHeight="1" x14ac:dyDescent="0.3">
      <c r="A14" s="18" t="s">
        <v>47</v>
      </c>
      <c r="B14" s="18" t="s">
        <v>48</v>
      </c>
      <c r="C14" s="26" t="s">
        <v>15</v>
      </c>
      <c r="D14" s="19">
        <v>43831</v>
      </c>
      <c r="E14" s="20">
        <v>47.55218</v>
      </c>
      <c r="F14" s="20">
        <v>-122.04795</v>
      </c>
      <c r="G14" s="27" t="s">
        <v>33</v>
      </c>
      <c r="H14" s="21">
        <v>40</v>
      </c>
      <c r="I14" s="21" t="s">
        <v>140</v>
      </c>
      <c r="M14" s="22">
        <v>410</v>
      </c>
      <c r="N14" s="21" t="s">
        <v>142</v>
      </c>
    </row>
    <row r="15" spans="1:14" s="21" customFormat="1" ht="18" customHeight="1" x14ac:dyDescent="0.3">
      <c r="A15" s="18" t="s">
        <v>49</v>
      </c>
      <c r="B15" s="18" t="s">
        <v>50</v>
      </c>
      <c r="C15" s="18" t="s">
        <v>15</v>
      </c>
      <c r="D15" s="19">
        <v>46387</v>
      </c>
      <c r="E15" s="20">
        <v>47.52711214</v>
      </c>
      <c r="F15" s="20">
        <v>-122.03844309999999</v>
      </c>
      <c r="G15" s="18">
        <v>8</v>
      </c>
      <c r="H15" s="21">
        <v>40</v>
      </c>
      <c r="I15" s="21" t="s">
        <v>126</v>
      </c>
      <c r="J15" s="21" t="s">
        <v>51</v>
      </c>
      <c r="K15" s="21" t="s">
        <v>17</v>
      </c>
      <c r="M15" s="22">
        <v>410</v>
      </c>
      <c r="N15" s="21" t="s">
        <v>142</v>
      </c>
    </row>
    <row r="16" spans="1:14" s="21" customFormat="1" ht="18" customHeight="1" x14ac:dyDescent="0.3">
      <c r="A16" s="18" t="s">
        <v>52</v>
      </c>
      <c r="B16" s="18" t="s">
        <v>53</v>
      </c>
      <c r="C16" s="24" t="s">
        <v>15</v>
      </c>
      <c r="D16" s="23">
        <v>43831</v>
      </c>
      <c r="E16" s="21">
        <v>47.340389999999999</v>
      </c>
      <c r="F16" s="25">
        <v>-122.12948</v>
      </c>
      <c r="G16" s="18">
        <v>9</v>
      </c>
      <c r="H16" s="21">
        <v>40</v>
      </c>
      <c r="I16" s="21" t="s">
        <v>126</v>
      </c>
      <c r="M16" s="22">
        <v>410</v>
      </c>
      <c r="N16" s="21" t="s">
        <v>142</v>
      </c>
    </row>
    <row r="17" spans="1:14" s="21" customFormat="1" ht="18" customHeight="1" x14ac:dyDescent="0.3">
      <c r="A17" s="18" t="s">
        <v>54</v>
      </c>
      <c r="B17" s="18" t="s">
        <v>55</v>
      </c>
      <c r="C17" s="18" t="s">
        <v>15</v>
      </c>
      <c r="D17" s="19">
        <v>45015</v>
      </c>
      <c r="E17" s="20">
        <v>47.731630000000003</v>
      </c>
      <c r="F17" s="20">
        <v>-122.19035100000001</v>
      </c>
      <c r="G17" s="18" t="s">
        <v>33</v>
      </c>
      <c r="H17" s="21">
        <v>40</v>
      </c>
      <c r="I17" s="21" t="s">
        <v>126</v>
      </c>
      <c r="M17" s="22">
        <v>410</v>
      </c>
      <c r="N17" s="21" t="s">
        <v>142</v>
      </c>
    </row>
    <row r="18" spans="1:14" s="21" customFormat="1" ht="18" customHeight="1" x14ac:dyDescent="0.3">
      <c r="A18" s="18" t="s">
        <v>56</v>
      </c>
      <c r="B18" s="18" t="s">
        <v>57</v>
      </c>
      <c r="C18" s="18" t="s">
        <v>23</v>
      </c>
      <c r="D18" s="19">
        <v>44522</v>
      </c>
      <c r="E18" s="20">
        <v>47.723680000000002</v>
      </c>
      <c r="F18" s="20">
        <v>-122.237329</v>
      </c>
      <c r="G18" s="18" t="s">
        <v>33</v>
      </c>
      <c r="H18" s="21">
        <v>20</v>
      </c>
      <c r="I18" s="21" t="s">
        <v>140</v>
      </c>
      <c r="M18" s="22">
        <v>410</v>
      </c>
      <c r="N18" s="21" t="s">
        <v>142</v>
      </c>
    </row>
    <row r="19" spans="1:14" s="21" customFormat="1" ht="18" customHeight="1" x14ac:dyDescent="0.3">
      <c r="A19" s="18" t="s">
        <v>58</v>
      </c>
      <c r="B19" s="18" t="s">
        <v>59</v>
      </c>
      <c r="C19" s="18" t="s">
        <v>15</v>
      </c>
      <c r="D19" s="19">
        <v>46387</v>
      </c>
      <c r="E19" s="20">
        <v>47.768700000000003</v>
      </c>
      <c r="F19" s="20">
        <v>-122.15689999999999</v>
      </c>
      <c r="G19" s="18">
        <v>8</v>
      </c>
      <c r="H19" s="21">
        <v>40</v>
      </c>
      <c r="I19" s="21" t="s">
        <v>126</v>
      </c>
      <c r="K19" s="21" t="s">
        <v>60</v>
      </c>
      <c r="L19" s="21" t="s">
        <v>61</v>
      </c>
      <c r="M19" s="22">
        <v>410</v>
      </c>
      <c r="N19" s="21" t="s">
        <v>142</v>
      </c>
    </row>
    <row r="20" spans="1:14" s="21" customFormat="1" ht="18" customHeight="1" x14ac:dyDescent="0.3">
      <c r="A20" s="18" t="s">
        <v>62</v>
      </c>
      <c r="B20" s="18" t="s">
        <v>63</v>
      </c>
      <c r="C20" s="18" t="s">
        <v>15</v>
      </c>
      <c r="D20" s="19">
        <v>45961</v>
      </c>
      <c r="E20" s="20">
        <v>47.466650000000001</v>
      </c>
      <c r="F20" s="20">
        <v>-122.16025999999999</v>
      </c>
      <c r="G20" s="18">
        <v>8</v>
      </c>
      <c r="H20" s="21">
        <v>40</v>
      </c>
      <c r="I20" s="21" t="s">
        <v>126</v>
      </c>
      <c r="K20" s="21" t="s">
        <v>17</v>
      </c>
      <c r="M20" s="22">
        <v>410</v>
      </c>
      <c r="N20" s="21" t="s">
        <v>142</v>
      </c>
    </row>
    <row r="21" spans="1:14" s="21" customFormat="1" ht="18" customHeight="1" x14ac:dyDescent="0.3">
      <c r="A21" s="18" t="s">
        <v>64</v>
      </c>
      <c r="B21" s="18" t="s">
        <v>65</v>
      </c>
      <c r="C21" s="18" t="s">
        <v>15</v>
      </c>
      <c r="D21" s="19">
        <v>43959</v>
      </c>
      <c r="E21" s="20">
        <v>47.44867</v>
      </c>
      <c r="F21" s="20">
        <v>-122.13769000000001</v>
      </c>
      <c r="G21" s="18" t="s">
        <v>33</v>
      </c>
      <c r="H21" s="21">
        <v>40</v>
      </c>
      <c r="I21" s="21" t="s">
        <v>140</v>
      </c>
      <c r="M21" s="22">
        <v>410</v>
      </c>
      <c r="N21" s="21" t="s">
        <v>142</v>
      </c>
    </row>
    <row r="22" spans="1:14" s="21" customFormat="1" ht="18" customHeight="1" x14ac:dyDescent="0.3">
      <c r="A22" s="18" t="s">
        <v>66</v>
      </c>
      <c r="B22" s="18" t="s">
        <v>67</v>
      </c>
      <c r="C22" s="18" t="s">
        <v>15</v>
      </c>
      <c r="D22" s="19">
        <v>46387</v>
      </c>
      <c r="E22" s="20">
        <v>47.379240000000003</v>
      </c>
      <c r="F22" s="20">
        <v>-122.01894</v>
      </c>
      <c r="G22" s="18">
        <v>8</v>
      </c>
      <c r="H22" s="21">
        <v>40</v>
      </c>
      <c r="I22" s="21" t="s">
        <v>126</v>
      </c>
      <c r="K22" s="21" t="s">
        <v>17</v>
      </c>
      <c r="M22" s="22">
        <v>410</v>
      </c>
      <c r="N22" s="21" t="s">
        <v>142</v>
      </c>
    </row>
    <row r="23" spans="1:14" s="21" customFormat="1" ht="18" customHeight="1" x14ac:dyDescent="0.3">
      <c r="A23" s="18" t="s">
        <v>68</v>
      </c>
      <c r="B23" s="18" t="s">
        <v>69</v>
      </c>
      <c r="C23" s="18" t="s">
        <v>15</v>
      </c>
      <c r="D23" s="19">
        <v>45961</v>
      </c>
      <c r="E23" s="20">
        <v>47.473039999999997</v>
      </c>
      <c r="F23" s="20">
        <v>-122.16851</v>
      </c>
      <c r="G23" s="18">
        <v>8</v>
      </c>
      <c r="H23" s="21">
        <v>40</v>
      </c>
      <c r="I23" s="21" t="s">
        <v>126</v>
      </c>
      <c r="K23" s="21" t="s">
        <v>17</v>
      </c>
      <c r="M23" s="22">
        <v>410</v>
      </c>
      <c r="N23" s="21" t="s">
        <v>142</v>
      </c>
    </row>
    <row r="24" spans="1:14" s="21" customFormat="1" ht="18" customHeight="1" x14ac:dyDescent="0.3">
      <c r="A24" s="18" t="s">
        <v>70</v>
      </c>
      <c r="B24" s="18" t="s">
        <v>71</v>
      </c>
      <c r="C24" s="18" t="s">
        <v>15</v>
      </c>
      <c r="D24" s="19">
        <v>46387</v>
      </c>
      <c r="E24" s="20">
        <v>47.343510000000002</v>
      </c>
      <c r="F24" s="20">
        <v>-122.20480000000001</v>
      </c>
      <c r="G24" s="18">
        <v>8</v>
      </c>
      <c r="H24" s="21">
        <v>40</v>
      </c>
      <c r="I24" s="21" t="s">
        <v>126</v>
      </c>
      <c r="K24" s="21" t="s">
        <v>17</v>
      </c>
      <c r="M24" s="22">
        <v>410</v>
      </c>
      <c r="N24" s="21" t="s">
        <v>142</v>
      </c>
    </row>
    <row r="25" spans="1:14" s="21" customFormat="1" ht="18" customHeight="1" x14ac:dyDescent="0.3">
      <c r="A25" s="18" t="s">
        <v>72</v>
      </c>
      <c r="B25" s="18" t="s">
        <v>73</v>
      </c>
      <c r="C25" s="18" t="s">
        <v>23</v>
      </c>
      <c r="D25" s="19">
        <v>45489</v>
      </c>
      <c r="E25" s="20">
        <v>47.389110000000002</v>
      </c>
      <c r="F25" s="20">
        <v>-122.30077799999999</v>
      </c>
      <c r="G25" s="18" t="s">
        <v>74</v>
      </c>
      <c r="H25" s="21">
        <v>20</v>
      </c>
      <c r="I25" s="21" t="s">
        <v>140</v>
      </c>
      <c r="M25" s="22">
        <v>410</v>
      </c>
      <c r="N25" s="21" t="s">
        <v>142</v>
      </c>
    </row>
    <row r="26" spans="1:14" s="21" customFormat="1" ht="18" customHeight="1" x14ac:dyDescent="0.3">
      <c r="A26" s="18" t="s">
        <v>75</v>
      </c>
      <c r="B26" s="18" t="s">
        <v>76</v>
      </c>
      <c r="C26" s="18" t="s">
        <v>15</v>
      </c>
      <c r="D26" s="19">
        <v>46022</v>
      </c>
      <c r="E26" s="20">
        <v>47.752929999999999</v>
      </c>
      <c r="F26" s="20">
        <v>-122.27781</v>
      </c>
      <c r="G26" s="18">
        <v>8</v>
      </c>
      <c r="H26" s="21">
        <v>40</v>
      </c>
      <c r="I26" s="21" t="s">
        <v>126</v>
      </c>
      <c r="J26" s="21" t="s">
        <v>34</v>
      </c>
      <c r="K26" s="21" t="s">
        <v>60</v>
      </c>
      <c r="M26" s="22">
        <v>410</v>
      </c>
      <c r="N26" s="21" t="s">
        <v>142</v>
      </c>
    </row>
    <row r="27" spans="1:14" s="21" customFormat="1" ht="18" customHeight="1" x14ac:dyDescent="0.3">
      <c r="A27" s="18" t="s">
        <v>77</v>
      </c>
      <c r="B27" s="18" t="s">
        <v>78</v>
      </c>
      <c r="C27" s="18" t="s">
        <v>15</v>
      </c>
      <c r="D27" s="19">
        <v>46022</v>
      </c>
      <c r="E27" s="20">
        <v>47.751779999999997</v>
      </c>
      <c r="F27" s="20">
        <v>-122.28125</v>
      </c>
      <c r="G27" s="18">
        <v>8</v>
      </c>
      <c r="H27" s="21">
        <v>40</v>
      </c>
      <c r="I27" s="21" t="s">
        <v>126</v>
      </c>
      <c r="J27" s="21" t="s">
        <v>34</v>
      </c>
      <c r="K27" s="21" t="s">
        <v>60</v>
      </c>
      <c r="M27" s="22">
        <v>410</v>
      </c>
      <c r="N27" s="21" t="s">
        <v>142</v>
      </c>
    </row>
    <row r="28" spans="1:14" s="21" customFormat="1" ht="18" customHeight="1" x14ac:dyDescent="0.3">
      <c r="A28" s="18" t="s">
        <v>79</v>
      </c>
      <c r="B28" s="18" t="s">
        <v>80</v>
      </c>
      <c r="C28" s="18" t="s">
        <v>23</v>
      </c>
      <c r="D28" s="19">
        <v>46022</v>
      </c>
      <c r="E28" s="20">
        <v>47.771979999999999</v>
      </c>
      <c r="F28" s="20">
        <v>-122.30305</v>
      </c>
      <c r="G28" s="18">
        <v>8</v>
      </c>
      <c r="H28" s="21">
        <v>20</v>
      </c>
      <c r="I28" s="21" t="s">
        <v>140</v>
      </c>
      <c r="M28" s="22">
        <v>410</v>
      </c>
      <c r="N28" s="21" t="s">
        <v>142</v>
      </c>
    </row>
    <row r="29" spans="1:14" s="21" customFormat="1" ht="18" customHeight="1" x14ac:dyDescent="0.3">
      <c r="A29" s="18" t="s">
        <v>81</v>
      </c>
      <c r="B29" s="18" t="s">
        <v>82</v>
      </c>
      <c r="C29" s="18" t="s">
        <v>15</v>
      </c>
      <c r="D29" s="19">
        <v>44011</v>
      </c>
      <c r="E29" s="20">
        <v>47.498989999999999</v>
      </c>
      <c r="F29" s="20">
        <v>-122.1268</v>
      </c>
      <c r="G29" s="18" t="s">
        <v>33</v>
      </c>
      <c r="H29" s="21">
        <v>40</v>
      </c>
      <c r="I29" s="21" t="s">
        <v>126</v>
      </c>
      <c r="M29" s="22">
        <v>410</v>
      </c>
      <c r="N29" s="21" t="s">
        <v>142</v>
      </c>
    </row>
    <row r="30" spans="1:14" s="21" customFormat="1" ht="18" customHeight="1" x14ac:dyDescent="0.3">
      <c r="A30" s="18" t="s">
        <v>83</v>
      </c>
      <c r="B30" s="18" t="s">
        <v>84</v>
      </c>
      <c r="C30" s="18" t="s">
        <v>23</v>
      </c>
      <c r="D30" s="19">
        <v>44239</v>
      </c>
      <c r="E30" s="20">
        <v>47.666029999999999</v>
      </c>
      <c r="F30" s="20">
        <v>-122.163455</v>
      </c>
      <c r="G30" s="18" t="s">
        <v>33</v>
      </c>
      <c r="H30" s="21">
        <v>20</v>
      </c>
      <c r="I30" s="21" t="s">
        <v>140</v>
      </c>
      <c r="M30" s="22">
        <v>410</v>
      </c>
      <c r="N30" s="21" t="s">
        <v>142</v>
      </c>
    </row>
    <row r="31" spans="1:14" s="21" customFormat="1" ht="18" customHeight="1" x14ac:dyDescent="0.3">
      <c r="A31" s="18" t="s">
        <v>85</v>
      </c>
      <c r="B31" s="18" t="s">
        <v>86</v>
      </c>
      <c r="C31" s="24" t="s">
        <v>15</v>
      </c>
      <c r="D31" s="23">
        <v>43831</v>
      </c>
      <c r="E31" s="21">
        <v>47.478299999999997</v>
      </c>
      <c r="F31" s="21">
        <v>-122.48173</v>
      </c>
      <c r="G31" s="18">
        <v>9</v>
      </c>
      <c r="H31" s="21">
        <v>40</v>
      </c>
      <c r="I31" s="21" t="s">
        <v>126</v>
      </c>
      <c r="M31" s="22">
        <v>410</v>
      </c>
      <c r="N31" s="21" t="s">
        <v>142</v>
      </c>
    </row>
    <row r="32" spans="1:14" s="21" customFormat="1" ht="18" customHeight="1" x14ac:dyDescent="0.3">
      <c r="A32" s="18" t="s">
        <v>87</v>
      </c>
      <c r="B32" s="18" t="s">
        <v>88</v>
      </c>
      <c r="C32" s="18" t="s">
        <v>15</v>
      </c>
      <c r="D32" s="19">
        <v>44456</v>
      </c>
      <c r="E32" s="20">
        <v>47.770359999999997</v>
      </c>
      <c r="F32" s="20">
        <v>-122.18592099999999</v>
      </c>
      <c r="G32" s="18" t="s">
        <v>33</v>
      </c>
      <c r="H32" s="21">
        <v>40</v>
      </c>
      <c r="I32" s="21" t="s">
        <v>126</v>
      </c>
      <c r="J32" s="21" t="s">
        <v>34</v>
      </c>
      <c r="K32" s="21" t="s">
        <v>60</v>
      </c>
      <c r="M32" s="22">
        <v>410</v>
      </c>
      <c r="N32" s="21" t="s">
        <v>142</v>
      </c>
    </row>
    <row r="33" spans="1:14" s="21" customFormat="1" ht="18" customHeight="1" x14ac:dyDescent="0.3">
      <c r="A33" s="18" t="s">
        <v>89</v>
      </c>
      <c r="B33" s="18" t="s">
        <v>90</v>
      </c>
      <c r="C33" s="18" t="s">
        <v>15</v>
      </c>
      <c r="D33" s="19">
        <v>46387</v>
      </c>
      <c r="E33" s="20">
        <v>47.587899999999998</v>
      </c>
      <c r="F33" s="20">
        <v>-121.95350000000001</v>
      </c>
      <c r="G33" s="18">
        <v>7</v>
      </c>
      <c r="H33" s="21">
        <v>40</v>
      </c>
      <c r="I33" s="21" t="s">
        <v>126</v>
      </c>
      <c r="J33" s="21" t="s">
        <v>91</v>
      </c>
      <c r="K33" s="21" t="s">
        <v>17</v>
      </c>
      <c r="M33" s="22">
        <v>410</v>
      </c>
      <c r="N33" s="21" t="s">
        <v>142</v>
      </c>
    </row>
    <row r="34" spans="1:14" s="21" customFormat="1" ht="18" customHeight="1" x14ac:dyDescent="0.3">
      <c r="A34" s="18" t="s">
        <v>92</v>
      </c>
      <c r="B34" s="18" t="s">
        <v>90</v>
      </c>
      <c r="C34" s="18" t="s">
        <v>23</v>
      </c>
      <c r="D34" s="19">
        <v>43831</v>
      </c>
      <c r="E34" s="20">
        <v>47.587899999999998</v>
      </c>
      <c r="F34" s="20">
        <v>-121.95350000000001</v>
      </c>
      <c r="G34" s="18">
        <v>7</v>
      </c>
      <c r="H34" s="21">
        <v>20</v>
      </c>
      <c r="I34" s="21" t="s">
        <v>126</v>
      </c>
      <c r="M34" s="22">
        <v>410</v>
      </c>
      <c r="N34" s="21" t="s">
        <v>142</v>
      </c>
    </row>
    <row r="35" spans="1:14" s="21" customFormat="1" ht="18" customHeight="1" x14ac:dyDescent="0.3">
      <c r="A35" s="18" t="s">
        <v>93</v>
      </c>
      <c r="B35" s="18" t="s">
        <v>94</v>
      </c>
      <c r="C35" s="18" t="s">
        <v>15</v>
      </c>
      <c r="D35" s="19">
        <v>45352</v>
      </c>
      <c r="E35" s="20">
        <v>47.745820000000002</v>
      </c>
      <c r="F35" s="20">
        <v>-122.21207</v>
      </c>
      <c r="G35" s="18">
        <v>8</v>
      </c>
      <c r="H35" s="21">
        <v>40</v>
      </c>
      <c r="I35" s="21" t="s">
        <v>140</v>
      </c>
      <c r="J35" s="21" t="s">
        <v>95</v>
      </c>
      <c r="M35" s="22">
        <v>410</v>
      </c>
      <c r="N35" s="21" t="s">
        <v>142</v>
      </c>
    </row>
    <row r="36" spans="1:14" s="21" customFormat="1" ht="18" customHeight="1" x14ac:dyDescent="0.3">
      <c r="A36" s="18" t="s">
        <v>96</v>
      </c>
      <c r="B36" s="18" t="s">
        <v>97</v>
      </c>
      <c r="C36" s="24" t="s">
        <v>15</v>
      </c>
      <c r="D36" s="23">
        <v>43831</v>
      </c>
      <c r="E36" s="21">
        <v>47.312510000000003</v>
      </c>
      <c r="F36" s="21">
        <v>-122.1653</v>
      </c>
      <c r="G36" s="18">
        <v>9</v>
      </c>
      <c r="H36" s="21">
        <v>40</v>
      </c>
      <c r="I36" s="21" t="s">
        <v>126</v>
      </c>
      <c r="M36" s="22">
        <v>410</v>
      </c>
      <c r="N36" s="21" t="s">
        <v>142</v>
      </c>
    </row>
    <row r="37" spans="1:14" s="21" customFormat="1" ht="18" customHeight="1" x14ac:dyDescent="0.3">
      <c r="A37" s="18" t="s">
        <v>98</v>
      </c>
      <c r="B37" s="18" t="s">
        <v>99</v>
      </c>
      <c r="C37" s="24" t="s">
        <v>15</v>
      </c>
      <c r="D37" s="23">
        <v>43831</v>
      </c>
      <c r="E37" s="21">
        <v>47.332900000000002</v>
      </c>
      <c r="F37" s="21">
        <v>-122.1562</v>
      </c>
      <c r="G37" s="18">
        <v>9</v>
      </c>
      <c r="H37" s="21">
        <v>40</v>
      </c>
      <c r="I37" s="21" t="s">
        <v>140</v>
      </c>
      <c r="M37" s="22">
        <v>410</v>
      </c>
      <c r="N37" s="21" t="s">
        <v>142</v>
      </c>
    </row>
    <row r="38" spans="1:14" s="21" customFormat="1" ht="18" customHeight="1" x14ac:dyDescent="0.3">
      <c r="A38" s="18" t="s">
        <v>100</v>
      </c>
      <c r="B38" s="18" t="s">
        <v>101</v>
      </c>
      <c r="C38" s="24" t="s">
        <v>15</v>
      </c>
      <c r="D38" s="23">
        <v>43831</v>
      </c>
      <c r="E38" s="21">
        <v>47.358240000000002</v>
      </c>
      <c r="F38" s="21">
        <v>-122.12526</v>
      </c>
      <c r="G38" s="18">
        <v>9</v>
      </c>
      <c r="H38" s="21">
        <v>40</v>
      </c>
      <c r="I38" s="21" t="s">
        <v>126</v>
      </c>
      <c r="M38" s="22">
        <v>410</v>
      </c>
      <c r="N38" s="21" t="s">
        <v>142</v>
      </c>
    </row>
    <row r="39" spans="1:14" s="21" customFormat="1" ht="18" customHeight="1" x14ac:dyDescent="0.3">
      <c r="A39" s="18" t="s">
        <v>102</v>
      </c>
      <c r="B39" s="18" t="s">
        <v>103</v>
      </c>
      <c r="C39" s="24" t="s">
        <v>15</v>
      </c>
      <c r="D39" s="23">
        <v>43831</v>
      </c>
      <c r="E39" s="21">
        <v>47.343530000000001</v>
      </c>
      <c r="F39" s="21">
        <v>-122.13442999999999</v>
      </c>
      <c r="G39" s="18">
        <v>9</v>
      </c>
      <c r="H39" s="21">
        <v>40</v>
      </c>
      <c r="I39" s="21" t="s">
        <v>140</v>
      </c>
      <c r="M39" s="22">
        <v>410</v>
      </c>
      <c r="N39" s="21" t="s">
        <v>142</v>
      </c>
    </row>
    <row r="40" spans="1:14" s="21" customFormat="1" ht="18" customHeight="1" x14ac:dyDescent="0.3">
      <c r="A40" s="18" t="s">
        <v>104</v>
      </c>
      <c r="B40" s="18" t="s">
        <v>105</v>
      </c>
      <c r="C40" s="18" t="s">
        <v>15</v>
      </c>
      <c r="D40" s="19">
        <v>44804</v>
      </c>
      <c r="E40" s="20">
        <v>47.75873</v>
      </c>
      <c r="F40" s="20">
        <v>-122.23724</v>
      </c>
      <c r="G40" s="18" t="s">
        <v>33</v>
      </c>
      <c r="H40" s="21">
        <v>40</v>
      </c>
      <c r="I40" s="21" t="s">
        <v>126</v>
      </c>
      <c r="M40" s="22">
        <v>410</v>
      </c>
      <c r="N40" s="21" t="s">
        <v>142</v>
      </c>
    </row>
    <row r="41" spans="1:14" s="21" customFormat="1" ht="18" customHeight="1" x14ac:dyDescent="0.3">
      <c r="A41" s="18" t="s">
        <v>106</v>
      </c>
      <c r="B41" s="18" t="s">
        <v>107</v>
      </c>
      <c r="C41" s="18" t="s">
        <v>15</v>
      </c>
      <c r="D41" s="19">
        <v>45915</v>
      </c>
      <c r="E41" s="20">
        <v>47.642389999999999</v>
      </c>
      <c r="F41" s="20">
        <v>-122.10460557</v>
      </c>
      <c r="G41" s="18">
        <v>8</v>
      </c>
      <c r="H41" s="21">
        <v>40</v>
      </c>
      <c r="I41" s="21" t="s">
        <v>126</v>
      </c>
      <c r="J41" s="21" t="s">
        <v>108</v>
      </c>
      <c r="K41" s="21" t="s">
        <v>17</v>
      </c>
      <c r="M41" s="22">
        <v>410</v>
      </c>
      <c r="N41" s="21" t="s">
        <v>142</v>
      </c>
    </row>
    <row r="42" spans="1:14" s="21" customFormat="1" ht="18" customHeight="1" x14ac:dyDescent="0.3">
      <c r="A42" s="18" t="s">
        <v>109</v>
      </c>
      <c r="B42" s="18" t="s">
        <v>110</v>
      </c>
      <c r="C42" s="18" t="s">
        <v>15</v>
      </c>
      <c r="D42" s="19">
        <v>45961</v>
      </c>
      <c r="E42" s="20">
        <v>47.578352000000002</v>
      </c>
      <c r="F42" s="20">
        <v>-122.11362099999999</v>
      </c>
      <c r="G42" s="18">
        <v>8</v>
      </c>
      <c r="H42" s="21">
        <v>40</v>
      </c>
      <c r="I42" s="21" t="s">
        <v>126</v>
      </c>
      <c r="K42" s="21" t="s">
        <v>17</v>
      </c>
      <c r="M42" s="22">
        <v>410</v>
      </c>
      <c r="N42" s="21" t="s">
        <v>142</v>
      </c>
    </row>
    <row r="43" spans="1:14" s="21" customFormat="1" ht="18" customHeight="1" x14ac:dyDescent="0.3">
      <c r="A43" s="18" t="s">
        <v>111</v>
      </c>
      <c r="B43" s="18" t="s">
        <v>112</v>
      </c>
      <c r="C43" s="18" t="s">
        <v>15</v>
      </c>
      <c r="D43" s="19">
        <v>46387</v>
      </c>
      <c r="E43" s="20">
        <v>47.713169999999998</v>
      </c>
      <c r="F43" s="20">
        <v>-122.36869</v>
      </c>
      <c r="G43" s="18">
        <v>8</v>
      </c>
      <c r="H43" s="21">
        <v>40</v>
      </c>
      <c r="I43" s="21" t="s">
        <v>126</v>
      </c>
      <c r="K43" s="21" t="s">
        <v>17</v>
      </c>
      <c r="M43" s="22">
        <v>410</v>
      </c>
      <c r="N43" s="21" t="s">
        <v>142</v>
      </c>
    </row>
    <row r="44" spans="1:14" s="21" customFormat="1" ht="18" customHeight="1" x14ac:dyDescent="0.3">
      <c r="A44" s="18" t="s">
        <v>113</v>
      </c>
      <c r="B44" s="18" t="s">
        <v>114</v>
      </c>
      <c r="C44" s="18" t="s">
        <v>23</v>
      </c>
      <c r="D44" s="19">
        <v>44348</v>
      </c>
      <c r="E44" s="20">
        <v>47.785730000000001</v>
      </c>
      <c r="F44" s="20">
        <v>-122.14136999999999</v>
      </c>
      <c r="G44" s="18" t="s">
        <v>33</v>
      </c>
      <c r="H44" s="21">
        <v>20</v>
      </c>
      <c r="I44" s="21" t="s">
        <v>140</v>
      </c>
      <c r="M44" s="22">
        <v>410</v>
      </c>
      <c r="N44" s="21" t="s">
        <v>142</v>
      </c>
    </row>
    <row r="45" spans="1:14" s="21" customFormat="1" ht="18" customHeight="1" x14ac:dyDescent="0.3">
      <c r="A45" s="18" t="s">
        <v>115</v>
      </c>
      <c r="B45" s="18" t="s">
        <v>116</v>
      </c>
      <c r="C45" s="18" t="s">
        <v>15</v>
      </c>
      <c r="D45" s="19">
        <v>46022</v>
      </c>
      <c r="E45" s="20">
        <v>47.703690000000002</v>
      </c>
      <c r="F45" s="20">
        <v>-122.10281000000001</v>
      </c>
      <c r="G45" s="18">
        <v>8</v>
      </c>
      <c r="H45" s="21">
        <v>40</v>
      </c>
      <c r="I45" s="21" t="s">
        <v>140</v>
      </c>
      <c r="M45" s="22">
        <v>410</v>
      </c>
      <c r="N45" s="21" t="s">
        <v>142</v>
      </c>
    </row>
    <row r="46" spans="1:14" s="21" customFormat="1" ht="18" customHeight="1" x14ac:dyDescent="0.3">
      <c r="A46" s="18" t="s">
        <v>117</v>
      </c>
      <c r="B46" s="18" t="s">
        <v>118</v>
      </c>
      <c r="C46" s="18" t="s">
        <v>15</v>
      </c>
      <c r="D46" s="19">
        <v>46387</v>
      </c>
      <c r="E46" s="20">
        <v>47.510399999999997</v>
      </c>
      <c r="F46" s="20">
        <v>-122.2482</v>
      </c>
      <c r="G46" s="18">
        <v>8</v>
      </c>
      <c r="H46" s="21">
        <v>40</v>
      </c>
      <c r="I46" s="21" t="s">
        <v>126</v>
      </c>
      <c r="K46" s="21" t="s">
        <v>17</v>
      </c>
      <c r="M46" s="22">
        <v>410</v>
      </c>
      <c r="N46" s="21" t="s">
        <v>142</v>
      </c>
    </row>
    <row r="47" spans="1:14" s="5" customFormat="1" ht="18" customHeight="1" x14ac:dyDescent="0.3">
      <c r="A47" s="6" t="s">
        <v>119</v>
      </c>
      <c r="D47" s="4"/>
      <c r="H47" s="7">
        <f>SUM(H1:H45)</f>
        <v>1600</v>
      </c>
      <c r="M47" s="8">
        <f>SUM(M1:M37)</f>
        <v>14760</v>
      </c>
    </row>
    <row r="48" spans="1:14" s="5" customFormat="1" ht="18" customHeight="1" x14ac:dyDescent="0.3">
      <c r="D48" s="4"/>
    </row>
    <row r="49" spans="1:27" s="5" customFormat="1" ht="18" customHeight="1" x14ac:dyDescent="0.3">
      <c r="D49" s="4"/>
    </row>
    <row r="50" spans="1:27" s="5" customFormat="1" ht="18" customHeight="1" x14ac:dyDescent="0.3">
      <c r="D50" s="4"/>
    </row>
    <row r="51" spans="1:27" s="5" customFormat="1" ht="18" customHeight="1" x14ac:dyDescent="0.3">
      <c r="D51" s="4"/>
    </row>
    <row r="52" spans="1:27" s="5" customFormat="1" ht="18" customHeight="1" x14ac:dyDescent="0.3">
      <c r="A52" s="9" t="s">
        <v>120</v>
      </c>
      <c r="D52" s="4"/>
    </row>
    <row r="53" spans="1:27" s="5" customFormat="1" ht="18" customHeight="1" x14ac:dyDescent="0.3">
      <c r="A53" s="5" t="s">
        <v>121</v>
      </c>
      <c r="B53" s="5" t="s">
        <v>122</v>
      </c>
      <c r="C53" s="3" t="s">
        <v>15</v>
      </c>
      <c r="D53" s="4"/>
      <c r="E53" s="10">
        <v>47.743555899999897</v>
      </c>
      <c r="F53" s="10">
        <v>-121.9414716</v>
      </c>
      <c r="G53" s="5">
        <v>7</v>
      </c>
      <c r="I53" s="5" t="s">
        <v>125</v>
      </c>
      <c r="N53" s="5" t="s">
        <v>141</v>
      </c>
    </row>
    <row r="54" spans="1:27" s="5" customFormat="1" ht="18" customHeight="1" x14ac:dyDescent="0.3">
      <c r="A54" s="5" t="s">
        <v>123</v>
      </c>
      <c r="B54" s="5" t="s">
        <v>124</v>
      </c>
      <c r="C54" s="5" t="s">
        <v>15</v>
      </c>
      <c r="D54" s="4"/>
      <c r="E54" s="11">
        <v>47.616447999999998</v>
      </c>
      <c r="F54" s="11">
        <v>-121.90148600000001</v>
      </c>
      <c r="G54" s="5">
        <v>7</v>
      </c>
      <c r="I54" s="5" t="s">
        <v>125</v>
      </c>
      <c r="N54" s="5" t="s">
        <v>141</v>
      </c>
    </row>
    <row r="55" spans="1:27" s="5" customFormat="1" ht="18" customHeight="1" x14ac:dyDescent="0.3">
      <c r="A55" s="5" t="s">
        <v>130</v>
      </c>
      <c r="B55" s="5" t="s">
        <v>129</v>
      </c>
      <c r="C55" s="5" t="s">
        <v>15</v>
      </c>
      <c r="D55" s="4"/>
      <c r="E55" s="11">
        <v>47.422834999999999</v>
      </c>
      <c r="F55" s="11">
        <v>-121.961286</v>
      </c>
      <c r="G55" s="5">
        <v>8</v>
      </c>
      <c r="I55" s="5" t="s">
        <v>125</v>
      </c>
      <c r="N55" s="5" t="s">
        <v>141</v>
      </c>
    </row>
    <row r="56" spans="1:27" s="5" customFormat="1" ht="18" customHeight="1" x14ac:dyDescent="0.3">
      <c r="A56" s="5" t="s">
        <v>132</v>
      </c>
      <c r="B56" s="5" t="s">
        <v>133</v>
      </c>
      <c r="C56" s="5" t="s">
        <v>15</v>
      </c>
      <c r="D56" s="4"/>
      <c r="E56" s="10">
        <v>47.403286000000001</v>
      </c>
      <c r="F56" s="10">
        <v>-122.46872</v>
      </c>
      <c r="G56" s="5">
        <v>9</v>
      </c>
      <c r="I56" s="5" t="s">
        <v>125</v>
      </c>
      <c r="N56" s="5" t="s">
        <v>141</v>
      </c>
    </row>
    <row r="57" spans="1:27" s="5" customFormat="1" ht="18" customHeight="1" x14ac:dyDescent="0.3">
      <c r="A57" s="5" t="s">
        <v>134</v>
      </c>
      <c r="B57" s="5" t="s">
        <v>135</v>
      </c>
      <c r="C57" s="5" t="s">
        <v>15</v>
      </c>
      <c r="D57" s="4"/>
      <c r="E57" s="11">
        <v>47.444560000000003</v>
      </c>
      <c r="F57" s="11">
        <v>-122.35451</v>
      </c>
      <c r="G57" s="5">
        <v>9</v>
      </c>
      <c r="I57" s="5" t="s">
        <v>125</v>
      </c>
      <c r="N57" s="5" t="s">
        <v>141</v>
      </c>
      <c r="P57" s="3"/>
      <c r="Q57" s="4"/>
      <c r="R57" s="2"/>
      <c r="S57" s="2"/>
      <c r="T57" s="2"/>
      <c r="V57" s="12"/>
      <c r="AA57" s="5" t="s">
        <v>141</v>
      </c>
    </row>
    <row r="58" spans="1:27" s="5" customFormat="1" ht="18" customHeight="1" x14ac:dyDescent="0.3">
      <c r="A58" s="5" t="s">
        <v>138</v>
      </c>
      <c r="B58" s="5" t="s">
        <v>139</v>
      </c>
      <c r="C58" s="5" t="s">
        <v>15</v>
      </c>
      <c r="D58" s="4"/>
      <c r="E58" s="10">
        <v>47.334569999999999</v>
      </c>
      <c r="F58" s="10">
        <v>-122.508606</v>
      </c>
      <c r="G58" s="5">
        <v>9</v>
      </c>
      <c r="I58" s="5" t="s">
        <v>125</v>
      </c>
      <c r="N58" s="5" t="s">
        <v>141</v>
      </c>
      <c r="O58" s="2"/>
    </row>
    <row r="59" spans="1:27" s="5" customFormat="1" ht="18" customHeight="1" x14ac:dyDescent="0.3">
      <c r="A59" s="13">
        <v>12099600</v>
      </c>
      <c r="B59" s="5" t="s">
        <v>131</v>
      </c>
      <c r="C59" s="5" t="s">
        <v>15</v>
      </c>
      <c r="D59" s="4"/>
      <c r="E59" s="10">
        <v>47.176084520000003</v>
      </c>
      <c r="F59" s="10">
        <v>-122.0184345</v>
      </c>
      <c r="G59" s="5">
        <v>10</v>
      </c>
      <c r="I59" s="5" t="s">
        <v>125</v>
      </c>
      <c r="N59" s="5" t="s">
        <v>141</v>
      </c>
    </row>
    <row r="60" spans="1:27" s="5" customFormat="1" ht="18" customHeight="1" x14ac:dyDescent="0.3">
      <c r="A60" s="5" t="s">
        <v>127</v>
      </c>
      <c r="B60" s="5" t="s">
        <v>128</v>
      </c>
      <c r="C60" s="5" t="s">
        <v>15</v>
      </c>
      <c r="D60" s="4"/>
      <c r="E60" s="11">
        <v>47.526111999999998</v>
      </c>
      <c r="F60" s="11">
        <v>-121.83710600000001</v>
      </c>
      <c r="G60" s="5">
        <v>7</v>
      </c>
      <c r="I60" s="5" t="s">
        <v>125</v>
      </c>
      <c r="N60" s="5" t="s">
        <v>141</v>
      </c>
    </row>
    <row r="61" spans="1:27" s="5" customFormat="1" ht="18" customHeight="1" x14ac:dyDescent="0.3">
      <c r="A61" s="5" t="s">
        <v>136</v>
      </c>
      <c r="B61" s="5" t="s">
        <v>137</v>
      </c>
      <c r="C61" s="5" t="s">
        <v>15</v>
      </c>
      <c r="D61" s="4"/>
      <c r="E61" s="10">
        <v>47.402954000000001</v>
      </c>
      <c r="F61" s="10">
        <v>-122.51761999999999</v>
      </c>
      <c r="G61" s="5">
        <v>9</v>
      </c>
      <c r="I61" s="5" t="s">
        <v>125</v>
      </c>
      <c r="N61" s="5" t="s">
        <v>141</v>
      </c>
    </row>
    <row r="62" spans="1:27" s="5" customFormat="1" ht="18" customHeight="1" x14ac:dyDescent="0.3">
      <c r="D62" s="4"/>
    </row>
    <row r="63" spans="1:27" s="5" customFormat="1" ht="18" customHeight="1" x14ac:dyDescent="0.3">
      <c r="D63" s="4"/>
    </row>
  </sheetData>
  <sortState xmlns:xlrd2="http://schemas.microsoft.com/office/spreadsheetml/2017/richdata2" ref="A6:M43">
    <sortCondition ref="A6:A43"/>
  </sortState>
  <conditionalFormatting sqref="E53:F61 A59">
    <cfRule type="notContainsBlanks" dxfId="0" priority="11">
      <formula>LEN(TRIM(A53))&gt;0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Grant, Brendan</dc:creator>
  <cp:keywords/>
  <dc:description/>
  <cp:lastModifiedBy>Higgins, Ian</cp:lastModifiedBy>
  <cp:revision/>
  <dcterms:created xsi:type="dcterms:W3CDTF">2015-06-05T18:17:20Z</dcterms:created>
  <dcterms:modified xsi:type="dcterms:W3CDTF">2025-11-24T21:19:18Z</dcterms:modified>
  <cp:category/>
  <cp:contentStatus/>
</cp:coreProperties>
</file>